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_UMons\Papiers\2026_PolymerCalibration\GitHub\polycIMS\"/>
    </mc:Choice>
  </mc:AlternateContent>
  <xr:revisionPtr revIDLastSave="0" documentId="13_ncr:1_{4C22BC83-31CB-4270-9E13-5A711D7A6236}" xr6:coauthVersionLast="47" xr6:coauthVersionMax="47" xr10:uidLastSave="{00000000-0000-0000-0000-000000000000}"/>
  <bookViews>
    <workbookView xWindow="28680" yWindow="-6030" windowWidth="29040" windowHeight="15720" xr2:uid="{E22583D9-69FF-4879-B493-9C1E981294C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9" i="1" l="1"/>
  <c r="D19" i="1" s="1"/>
  <c r="C18" i="1"/>
  <c r="D18" i="1" s="1"/>
  <c r="C17" i="1"/>
  <c r="D17" i="1" s="1"/>
  <c r="C16" i="1"/>
  <c r="D16" i="1" s="1"/>
  <c r="F16" i="1" s="1"/>
  <c r="J15" i="1"/>
  <c r="K15" i="1" s="1"/>
  <c r="C10" i="1"/>
  <c r="D10" i="1" s="1"/>
  <c r="F10" i="1" s="1"/>
  <c r="C9" i="1"/>
  <c r="D9" i="1" s="1"/>
  <c r="C8" i="1"/>
  <c r="D8" i="1" s="1"/>
  <c r="C7" i="1"/>
  <c r="D7" i="1" s="1"/>
  <c r="J6" i="1"/>
  <c r="K6" i="1" s="1"/>
  <c r="F7" i="1" l="1"/>
  <c r="E7" i="1"/>
  <c r="F8" i="1"/>
  <c r="E8" i="1"/>
  <c r="F9" i="1"/>
  <c r="E9" i="1"/>
  <c r="F18" i="1"/>
  <c r="E18" i="1"/>
  <c r="F17" i="1"/>
  <c r="E17" i="1"/>
  <c r="F19" i="1"/>
  <c r="E19" i="1"/>
  <c r="E16" i="1"/>
  <c r="E10" i="1"/>
</calcChain>
</file>

<file path=xl/sharedStrings.xml><?xml version="1.0" encoding="utf-8"?>
<sst xmlns="http://schemas.openxmlformats.org/spreadsheetml/2006/main" count="29" uniqueCount="20">
  <si>
    <t>A</t>
  </si>
  <si>
    <t>B</t>
  </si>
  <si>
    <t>Separation time (ms)</t>
  </si>
  <si>
    <t>Arrival time (ms)</t>
  </si>
  <si>
    <t>n</t>
  </si>
  <si>
    <t>ts / n_arr</t>
  </si>
  <si>
    <t>(tn - ts) / n_arr</t>
  </si>
  <si>
    <t>tpp</t>
  </si>
  <si>
    <t>z</t>
  </si>
  <si>
    <t>m/z</t>
  </si>
  <si>
    <t>µ</t>
  </si>
  <si>
    <t>CCS (A²)</t>
  </si>
  <si>
    <t>Parameters from polycIMS &gt;&gt;&gt;</t>
  </si>
  <si>
    <t>n_rounded</t>
  </si>
  <si>
    <t>NADH</t>
  </si>
  <si>
    <t>SUBSTANCE P</t>
  </si>
  <si>
    <t>How to determine TWCCS for analyte ions using A' and B ?</t>
  </si>
  <si>
    <t>Measure arrival times at various tS, and determine t0 with a Bypass experiment, then fill the table below</t>
  </si>
  <si>
    <t>ts / n_rounded</t>
  </si>
  <si>
    <t>(tn - ts) / n_rounded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</si>
</sst>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b/>
      <i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3" borderId="0" xfId="0" applyFont="1" applyFill="1"/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/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NADH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9534781642137775E-6"/>
                  <c:y val="-0.25285393139223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Feuil1!$E$16:$E$19</c:f>
              <c:numCache>
                <c:formatCode>General</c:formatCode>
                <c:ptCount val="4"/>
                <c:pt idx="0">
                  <c:v>2</c:v>
                </c:pt>
                <c:pt idx="1">
                  <c:v>10</c:v>
                </c:pt>
                <c:pt idx="2">
                  <c:v>13.333333333333334</c:v>
                </c:pt>
                <c:pt idx="3">
                  <c:v>15</c:v>
                </c:pt>
              </c:numCache>
            </c:numRef>
          </c:xVal>
          <c:yVal>
            <c:numRef>
              <c:f>Feuil1!$F$16:$F$19</c:f>
              <c:numCache>
                <c:formatCode>General</c:formatCode>
                <c:ptCount val="4"/>
                <c:pt idx="0">
                  <c:v>16.62</c:v>
                </c:pt>
                <c:pt idx="1">
                  <c:v>8.32</c:v>
                </c:pt>
                <c:pt idx="2">
                  <c:v>5.0266666666666664</c:v>
                </c:pt>
                <c:pt idx="3">
                  <c:v>3.2749999999999986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20-4C5B-8DAB-B90074DEE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620928"/>
        <c:axId val="312621408"/>
      </c:scatterChart>
      <c:valAx>
        <c:axId val="31262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ts / n_round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2621408"/>
        <c:crosses val="autoZero"/>
        <c:crossBetween val="midCat"/>
      </c:valAx>
      <c:valAx>
        <c:axId val="31262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(tn - ts) / n_round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2620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Substance 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761514021273657"/>
                  <c:y val="-5.78163728013156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Feuil1!$E$7:$E$10</c:f>
              <c:numCache>
                <c:formatCode>General</c:formatCode>
                <c:ptCount val="4"/>
                <c:pt idx="0">
                  <c:v>2</c:v>
                </c:pt>
                <c:pt idx="1">
                  <c:v>20</c:v>
                </c:pt>
                <c:pt idx="2">
                  <c:v>40</c:v>
                </c:pt>
                <c:pt idx="3">
                  <c:v>30</c:v>
                </c:pt>
              </c:numCache>
            </c:numRef>
          </c:xVal>
          <c:yVal>
            <c:numRef>
              <c:f>Feuil1!$F$7:$F$10</c:f>
              <c:numCache>
                <c:formatCode>General</c:formatCode>
                <c:ptCount val="4"/>
                <c:pt idx="0">
                  <c:v>48.480000000000004</c:v>
                </c:pt>
                <c:pt idx="1">
                  <c:v>30.150000000000006</c:v>
                </c:pt>
                <c:pt idx="2">
                  <c:v>9.980000000000004</c:v>
                </c:pt>
                <c:pt idx="3">
                  <c:v>20.96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5A-4D35-9197-7B0CABAEC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008351"/>
        <c:axId val="1566617071"/>
      </c:scatterChart>
      <c:valAx>
        <c:axId val="172200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ts / n_round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6617071"/>
        <c:crosses val="autoZero"/>
        <c:crossBetween val="midCat"/>
      </c:valAx>
      <c:valAx>
        <c:axId val="156661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(tn - ts) / n_round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2008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602374</xdr:colOff>
      <xdr:row>15</xdr:row>
      <xdr:rowOff>3942</xdr:rowOff>
    </xdr:from>
    <xdr:to>
      <xdr:col>17</xdr:col>
      <xdr:colOff>609600</xdr:colOff>
      <xdr:row>26</xdr:row>
      <xdr:rowOff>95250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763FFDA-7F22-4D69-8535-E5107E3C5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571500</xdr:colOff>
      <xdr:row>2</xdr:row>
      <xdr:rowOff>133350</xdr:rowOff>
    </xdr:from>
    <xdr:to>
      <xdr:col>17</xdr:col>
      <xdr:colOff>523875</xdr:colOff>
      <xdr:row>13</xdr:row>
      <xdr:rowOff>171449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5014BF8-9A61-D8B1-41CF-68FB4CD21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935D-5E39-4B4D-8FA8-15CF59FB60CE}">
  <dimension ref="A1:K19"/>
  <sheetViews>
    <sheetView tabSelected="1" workbookViewId="0">
      <selection activeCell="G22" sqref="G22"/>
    </sheetView>
  </sheetViews>
  <sheetFormatPr baseColWidth="10" defaultRowHeight="15"/>
  <cols>
    <col min="1" max="1" width="19.5703125" bestFit="1" customWidth="1"/>
    <col min="2" max="2" width="15.5703125" bestFit="1" customWidth="1"/>
    <col min="5" max="5" width="13.5703125" bestFit="1" customWidth="1"/>
    <col min="6" max="6" width="23" customWidth="1"/>
    <col min="8" max="8" width="28.42578125" bestFit="1" customWidth="1"/>
  </cols>
  <sheetData>
    <row r="1" spans="1:11">
      <c r="A1" s="6" t="s">
        <v>16</v>
      </c>
      <c r="B1" s="6"/>
      <c r="C1" s="6"/>
      <c r="D1" s="6"/>
      <c r="E1" s="6"/>
      <c r="F1" s="6"/>
      <c r="H1" s="1" t="s">
        <v>12</v>
      </c>
      <c r="I1" s="2" t="s">
        <v>0</v>
      </c>
      <c r="J1" s="2" t="s">
        <v>1</v>
      </c>
    </row>
    <row r="2" spans="1:11">
      <c r="A2" s="7" t="s">
        <v>17</v>
      </c>
      <c r="B2" s="7"/>
      <c r="C2" s="7"/>
      <c r="D2" s="7"/>
      <c r="E2" s="7"/>
      <c r="F2" s="7"/>
      <c r="H2" s="1"/>
      <c r="I2" s="3">
        <v>300.91680000000002</v>
      </c>
      <c r="J2" s="3">
        <v>0.46870000000000001</v>
      </c>
    </row>
    <row r="3" spans="1:11">
      <c r="H3" s="1"/>
      <c r="I3" s="8"/>
      <c r="J3" s="8"/>
    </row>
    <row r="4" spans="1:11">
      <c r="A4" t="s">
        <v>15</v>
      </c>
      <c r="H4" s="1"/>
      <c r="I4" s="4"/>
      <c r="J4" s="4"/>
    </row>
    <row r="5" spans="1:11">
      <c r="A5" t="s">
        <v>2</v>
      </c>
      <c r="B5" t="s">
        <v>3</v>
      </c>
      <c r="C5" t="s">
        <v>4</v>
      </c>
      <c r="D5" t="s">
        <v>13</v>
      </c>
      <c r="E5" t="s">
        <v>18</v>
      </c>
      <c r="F5" t="s">
        <v>19</v>
      </c>
      <c r="G5" t="s">
        <v>7</v>
      </c>
      <c r="H5" t="s">
        <v>8</v>
      </c>
      <c r="I5" t="s">
        <v>9</v>
      </c>
      <c r="J5" t="s">
        <v>10</v>
      </c>
      <c r="K5" s="1" t="s">
        <v>11</v>
      </c>
    </row>
    <row r="6" spans="1:11">
      <c r="A6">
        <v>0</v>
      </c>
      <c r="B6">
        <v>14.02</v>
      </c>
      <c r="G6">
        <v>50.51</v>
      </c>
      <c r="H6">
        <v>1</v>
      </c>
      <c r="I6" s="5">
        <v>1347.7360000000001</v>
      </c>
      <c r="J6">
        <f>28*I6*H6/(28+(I6*H6))</f>
        <v>27.430123221315714</v>
      </c>
      <c r="K6">
        <f>$I$2*G6^($J$2)*H6/(SQRT(J6))</f>
        <v>361.16489301949576</v>
      </c>
    </row>
    <row r="7" spans="1:11">
      <c r="A7">
        <v>2</v>
      </c>
      <c r="B7">
        <v>64.5</v>
      </c>
      <c r="C7">
        <f>(B7-$B6)/($B7-$B6)</f>
        <v>1</v>
      </c>
      <c r="D7">
        <f>ROUND(C7,0)</f>
        <v>1</v>
      </c>
      <c r="E7">
        <f>A7/D7</f>
        <v>2</v>
      </c>
      <c r="F7">
        <f>(B7 -B6 - A7) /D7</f>
        <v>48.480000000000004</v>
      </c>
    </row>
    <row r="8" spans="1:11">
      <c r="A8">
        <v>20</v>
      </c>
      <c r="B8">
        <v>64.17</v>
      </c>
      <c r="C8">
        <f>(B8-$B6)/($B7-$B6)</f>
        <v>0.99346275752773383</v>
      </c>
      <c r="D8">
        <f t="shared" ref="D8:D10" si="0">ROUND(C8,0)</f>
        <v>1</v>
      </c>
      <c r="E8">
        <f t="shared" ref="E8:E10" si="1">A8/D8</f>
        <v>20</v>
      </c>
      <c r="F8">
        <f>(B8 -B6 - A8) /D8</f>
        <v>30.150000000000006</v>
      </c>
    </row>
    <row r="9" spans="1:11">
      <c r="A9">
        <v>40</v>
      </c>
      <c r="B9">
        <v>64</v>
      </c>
      <c r="C9">
        <f>(B9-$B6)/($B7-$B6)</f>
        <v>0.99009508716323291</v>
      </c>
      <c r="D9">
        <f t="shared" si="0"/>
        <v>1</v>
      </c>
      <c r="E9">
        <f t="shared" si="1"/>
        <v>40</v>
      </c>
      <c r="F9">
        <f>(B9 -B6 - A9) /D9</f>
        <v>9.980000000000004</v>
      </c>
    </row>
    <row r="10" spans="1:11">
      <c r="A10">
        <v>60</v>
      </c>
      <c r="B10">
        <v>115.94</v>
      </c>
      <c r="C10">
        <f>(B10-$B6)/($B7-$B6)</f>
        <v>2.0190174326465926</v>
      </c>
      <c r="D10">
        <f t="shared" si="0"/>
        <v>2</v>
      </c>
      <c r="E10">
        <f t="shared" si="1"/>
        <v>30</v>
      </c>
      <c r="F10">
        <f>(B10 -B6 - A10) /D10</f>
        <v>20.96</v>
      </c>
    </row>
    <row r="13" spans="1:11">
      <c r="A13" t="s">
        <v>14</v>
      </c>
      <c r="H13" s="1"/>
      <c r="I13" s="4"/>
      <c r="J13" s="4"/>
    </row>
    <row r="14" spans="1:11">
      <c r="A14" t="s">
        <v>2</v>
      </c>
      <c r="B14" t="s">
        <v>3</v>
      </c>
      <c r="C14" t="s">
        <v>4</v>
      </c>
      <c r="D14" t="s">
        <v>13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s="1" t="s">
        <v>11</v>
      </c>
    </row>
    <row r="15" spans="1:11">
      <c r="A15">
        <v>0</v>
      </c>
      <c r="B15">
        <v>11.98</v>
      </c>
      <c r="G15">
        <v>18.646999999999998</v>
      </c>
      <c r="H15">
        <v>1</v>
      </c>
      <c r="I15" s="5">
        <v>244.0797</v>
      </c>
      <c r="J15">
        <f>28*I15*H15/(28+(I15*H15))</f>
        <v>25.118491383223372</v>
      </c>
      <c r="K15">
        <f>$I$2*G15^($J$2)*H15/(SQRT(J15))</f>
        <v>236.58329895842851</v>
      </c>
    </row>
    <row r="16" spans="1:11">
      <c r="A16">
        <v>2</v>
      </c>
      <c r="B16">
        <v>30.6</v>
      </c>
      <c r="C16">
        <f>(B16-$B15)/($B16-$B15)</f>
        <v>1</v>
      </c>
      <c r="D16">
        <f>ROUND(C16,0)</f>
        <v>1</v>
      </c>
      <c r="E16">
        <f>A16/D16</f>
        <v>2</v>
      </c>
      <c r="F16">
        <f>(B16 -B15 - A16) /D16</f>
        <v>16.62</v>
      </c>
    </row>
    <row r="17" spans="1:6">
      <c r="A17">
        <v>20</v>
      </c>
      <c r="B17">
        <v>48.62</v>
      </c>
      <c r="C17">
        <f>(B17-$B15)/($B16-$B15)</f>
        <v>1.9677765843179376</v>
      </c>
      <c r="D17">
        <f t="shared" ref="D17:D19" si="2">ROUND(C17,0)</f>
        <v>2</v>
      </c>
      <c r="E17">
        <f t="shared" ref="E17:E19" si="3">A17/D17</f>
        <v>10</v>
      </c>
      <c r="F17">
        <f>(B17 -B15 - A17) /D17</f>
        <v>8.32</v>
      </c>
    </row>
    <row r="18" spans="1:6">
      <c r="A18">
        <v>40</v>
      </c>
      <c r="B18">
        <v>67.06</v>
      </c>
      <c r="C18">
        <f>(B18-$B15)/($B16-$B15)</f>
        <v>2.9581095596133187</v>
      </c>
      <c r="D18">
        <f t="shared" si="2"/>
        <v>3</v>
      </c>
      <c r="E18">
        <f t="shared" si="3"/>
        <v>13.333333333333334</v>
      </c>
      <c r="F18">
        <f>(B18 -B15 - A18) /D18</f>
        <v>5.0266666666666664</v>
      </c>
    </row>
    <row r="19" spans="1:6">
      <c r="A19">
        <v>60</v>
      </c>
      <c r="B19">
        <v>85.08</v>
      </c>
      <c r="C19">
        <f>(B19-$B15)/($B16-$B15)</f>
        <v>3.925886143931256</v>
      </c>
      <c r="D19">
        <f t="shared" si="2"/>
        <v>4</v>
      </c>
      <c r="E19">
        <f t="shared" si="3"/>
        <v>15</v>
      </c>
      <c r="F19">
        <f>(B19 -B15 - A19) /D19</f>
        <v>3.2749999999999986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DUEZ</dc:creator>
  <cp:lastModifiedBy>Quentin DUEZ</cp:lastModifiedBy>
  <dcterms:created xsi:type="dcterms:W3CDTF">2026-09-21T13:48:24Z</dcterms:created>
  <dcterms:modified xsi:type="dcterms:W3CDTF">2026-09-28T09:53:18Z</dcterms:modified>
</cp:coreProperties>
</file>